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MTS\Desktop\"/>
    </mc:Choice>
  </mc:AlternateContent>
  <bookViews>
    <workbookView xWindow="0" yWindow="0" windowWidth="28800" windowHeight="12630" tabRatio="500"/>
  </bookViews>
  <sheets>
    <sheet name="Лист1" sheetId="2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3" i="2" l="1"/>
  <c r="G59" i="2" l="1"/>
  <c r="G61" i="2" s="1"/>
  <c r="F59" i="2"/>
  <c r="F61" i="2" s="1"/>
  <c r="E59" i="2"/>
  <c r="E61" i="2" s="1"/>
  <c r="D59" i="2"/>
  <c r="D61" i="2" s="1"/>
  <c r="C59" i="2"/>
  <c r="C61" i="2" s="1"/>
  <c r="H39" i="2"/>
  <c r="H41" i="2" s="1"/>
  <c r="G39" i="2"/>
  <c r="G41" i="2" s="1"/>
  <c r="F39" i="2"/>
  <c r="F41" i="2" s="1"/>
  <c r="E39" i="2"/>
  <c r="E41" i="2" s="1"/>
  <c r="D39" i="2"/>
  <c r="D41" i="2" s="1"/>
  <c r="C39" i="2"/>
  <c r="C41" i="2" s="1"/>
  <c r="H19" i="2"/>
  <c r="H21" i="2" s="1"/>
  <c r="G19" i="2"/>
  <c r="G21" i="2" s="1"/>
  <c r="F19" i="2"/>
  <c r="F21" i="2" s="1"/>
  <c r="E19" i="2"/>
  <c r="E21" i="2" s="1"/>
  <c r="D19" i="2"/>
  <c r="B66" i="2" s="1"/>
  <c r="C19" i="2"/>
  <c r="B65" i="2" l="1"/>
  <c r="B67" i="2" l="1"/>
  <c r="C67" i="2" l="1"/>
  <c r="C66" i="2"/>
  <c r="B71" i="2" s="1"/>
  <c r="D71" i="2" s="1"/>
  <c r="D20" i="2" s="1"/>
  <c r="D21" i="2" s="1"/>
  <c r="C65" i="2"/>
  <c r="B70" i="2" s="1"/>
  <c r="D70" i="2" s="1"/>
  <c r="C20" i="2" s="1"/>
  <c r="C21" i="2" s="1"/>
</calcChain>
</file>

<file path=xl/sharedStrings.xml><?xml version="1.0" encoding="utf-8"?>
<sst xmlns="http://schemas.openxmlformats.org/spreadsheetml/2006/main" count="85" uniqueCount="46">
  <si>
    <t>Дзержинский</t>
  </si>
  <si>
    <t>Железнодорожный</t>
  </si>
  <si>
    <t>Заельцовский</t>
  </si>
  <si>
    <t>Калининский</t>
  </si>
  <si>
    <t>Кировский</t>
  </si>
  <si>
    <t>Ленинский</t>
  </si>
  <si>
    <t>Октябрьский</t>
  </si>
  <si>
    <t>Первомайский</t>
  </si>
  <si>
    <t>Советский</t>
  </si>
  <si>
    <t>Центральный</t>
  </si>
  <si>
    <t>Искитимский</t>
  </si>
  <si>
    <t>Новосибирский</t>
  </si>
  <si>
    <t>Наименование ОВД</t>
  </si>
  <si>
    <t>РУ</t>
  </si>
  <si>
    <t>ОЗП</t>
  </si>
  <si>
    <t>ОЗПЭ</t>
  </si>
  <si>
    <t>АСР</t>
  </si>
  <si>
    <t xml:space="preserve"> </t>
  </si>
  <si>
    <t>Бердский</t>
  </si>
  <si>
    <t>УВМ</t>
  </si>
  <si>
    <t>сумма</t>
  </si>
  <si>
    <t>ОМУ</t>
  </si>
  <si>
    <t>Итого в 1-ГМУ</t>
  </si>
  <si>
    <t>Приглаш</t>
  </si>
  <si>
    <t>Визы</t>
  </si>
  <si>
    <t>МУ</t>
  </si>
  <si>
    <t>РВП</t>
  </si>
  <si>
    <t>ВНЖ</t>
  </si>
  <si>
    <t>ГП</t>
  </si>
  <si>
    <t>ВП</t>
  </si>
  <si>
    <t>Беженцы</t>
  </si>
  <si>
    <t>БеженцыЭ</t>
  </si>
  <si>
    <t>ДГДР</t>
  </si>
  <si>
    <t>Ому</t>
  </si>
  <si>
    <t>Патенты по ОМУ</t>
  </si>
  <si>
    <t>Рассчёт РП ОМУ %</t>
  </si>
  <si>
    <t>14 лет</t>
  </si>
  <si>
    <t>20-45 лет</t>
  </si>
  <si>
    <t>РП по ОМУ</t>
  </si>
  <si>
    <t>% от СУЭО на ОМУ</t>
  </si>
  <si>
    <t>Сколько РП по ому напиши слева, остальное посчитает само</t>
  </si>
  <si>
    <t>Иные услуги</t>
  </si>
  <si>
    <t>То что написано красным - не трогать, меняешь только чёрный текст</t>
  </si>
  <si>
    <t>РП 14, 20,45, изм. Фамилии, непригодность, изм внешности</t>
  </si>
  <si>
    <t>гр-во, ССР, утрата, техбрак</t>
  </si>
  <si>
    <t>предварительная запись отчет за 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</si>
</sst>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b/>
      <sz val="10"/>
      <name val="Arial Cyr"/>
      <charset val="204"/>
    </font>
    <font>
      <sz val="10"/>
      <color rgb="FFFF0000"/>
      <name val="Arial Cyr"/>
      <charset val="204"/>
    </font>
    <font>
      <b/>
      <sz val="10"/>
      <name val="Times New Roman"/>
      <family val="1"/>
      <charset val="1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rgb="FFFF0000"/>
      <name val="Arial Cyr"/>
      <charset val="204"/>
    </font>
    <font>
      <b/>
      <sz val="10"/>
      <color rgb="FFFF0000"/>
      <name val="Arial Cyr"/>
      <charset val="204"/>
    </font>
    <font>
      <b/>
      <sz val="10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5" fillId="0" borderId="2" xfId="0" applyFont="1" applyBorder="1" applyAlignment="1"/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0" fillId="0" borderId="3" xfId="0" applyFont="1" applyBorder="1"/>
    <xf numFmtId="0" fontId="1" fillId="0" borderId="3" xfId="0" applyFont="1" applyBorder="1"/>
    <xf numFmtId="0" fontId="0" fillId="0" borderId="10" xfId="0" applyBorder="1"/>
    <xf numFmtId="0" fontId="0" fillId="0" borderId="4" xfId="0" applyFont="1" applyBorder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5" xfId="0" applyFont="1" applyBorder="1" applyAlignment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7" fillId="0" borderId="15" xfId="0" applyFont="1" applyBorder="1"/>
    <xf numFmtId="0" fontId="0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8" xfId="0" applyFont="1" applyBorder="1"/>
    <xf numFmtId="0" fontId="9" fillId="0" borderId="6" xfId="0" applyFont="1" applyBorder="1"/>
    <xf numFmtId="0" fontId="9" fillId="0" borderId="9" xfId="0" applyFont="1" applyBorder="1"/>
    <xf numFmtId="0" fontId="3" fillId="0" borderId="0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1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11" xfId="0" applyFont="1" applyBorder="1"/>
    <xf numFmtId="0" fontId="8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0" fillId="0" borderId="2" xfId="0" applyNumberForma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1"/>
  <sheetViews>
    <sheetView tabSelected="1" zoomScaleNormal="100" workbookViewId="0">
      <selection activeCell="F22" sqref="F22"/>
    </sheetView>
  </sheetViews>
  <sheetFormatPr defaultColWidth="8.7109375" defaultRowHeight="12.75" x14ac:dyDescent="0.2"/>
  <cols>
    <col min="1" max="1" width="2.85546875" customWidth="1"/>
    <col min="2" max="2" width="16.5703125" customWidth="1"/>
    <col min="3" max="3" width="10.5703125" customWidth="1"/>
    <col min="4" max="4" width="14.42578125" customWidth="1"/>
    <col min="5" max="5" width="7.85546875" customWidth="1"/>
    <col min="6" max="6" width="9.85546875" customWidth="1"/>
    <col min="7" max="7" width="9.28515625" customWidth="1"/>
    <col min="8" max="8" width="9.7109375" customWidth="1"/>
    <col min="9" max="9" width="8.42578125" customWidth="1"/>
    <col min="10" max="10" width="8" customWidth="1"/>
    <col min="11" max="11" width="8.140625" customWidth="1"/>
    <col min="12" max="12" width="7.85546875" customWidth="1"/>
    <col min="13" max="13" width="7.42578125" customWidth="1"/>
    <col min="14" max="14" width="8" customWidth="1"/>
    <col min="15" max="15" width="33.140625" customWidth="1"/>
  </cols>
  <sheetData>
    <row r="1" spans="1:23" ht="15" customHeight="1" x14ac:dyDescent="0.2">
      <c r="B1" s="50" t="s">
        <v>45</v>
      </c>
      <c r="C1" s="50"/>
      <c r="D1" s="50"/>
      <c r="E1" s="50"/>
      <c r="F1" s="50"/>
      <c r="G1" s="50"/>
      <c r="H1" s="50"/>
      <c r="I1" s="32"/>
      <c r="J1" s="32"/>
      <c r="K1" s="3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7.25" customHeight="1" x14ac:dyDescent="0.2">
      <c r="B2" s="51" t="s">
        <v>12</v>
      </c>
      <c r="C2" s="22" t="s">
        <v>44</v>
      </c>
      <c r="D2" s="22" t="s">
        <v>43</v>
      </c>
      <c r="E2" s="22" t="s">
        <v>13</v>
      </c>
      <c r="F2" s="22" t="s">
        <v>14</v>
      </c>
      <c r="G2" s="22" t="s">
        <v>15</v>
      </c>
      <c r="H2" s="22" t="s">
        <v>16</v>
      </c>
      <c r="I2" s="2"/>
      <c r="J2" s="2"/>
      <c r="K2" s="2"/>
    </row>
    <row r="3" spans="1:23" ht="12.75" customHeight="1" x14ac:dyDescent="0.2">
      <c r="B3" s="51"/>
      <c r="C3" s="48">
        <v>45992</v>
      </c>
      <c r="D3" s="48">
        <v>45992</v>
      </c>
      <c r="E3" s="48">
        <v>45992</v>
      </c>
      <c r="F3" s="48">
        <v>45992</v>
      </c>
      <c r="G3" s="48">
        <v>45992</v>
      </c>
      <c r="H3" s="48">
        <v>45992</v>
      </c>
      <c r="I3" s="3"/>
    </row>
    <row r="4" spans="1:23" x14ac:dyDescent="0.2">
      <c r="A4" t="s">
        <v>17</v>
      </c>
      <c r="B4" s="51"/>
      <c r="C4" s="48"/>
      <c r="D4" s="48"/>
      <c r="E4" s="48"/>
      <c r="F4" s="48"/>
      <c r="G4" s="48"/>
      <c r="H4" s="48"/>
      <c r="I4" s="3"/>
    </row>
    <row r="5" spans="1:23" x14ac:dyDescent="0.2">
      <c r="A5">
        <v>0</v>
      </c>
      <c r="B5" s="4" t="s">
        <v>1</v>
      </c>
      <c r="C5" s="21">
        <v>20</v>
      </c>
      <c r="D5" s="21">
        <v>175</v>
      </c>
      <c r="E5" s="21">
        <v>194</v>
      </c>
      <c r="F5" s="21">
        <v>58</v>
      </c>
      <c r="G5" s="21">
        <v>245</v>
      </c>
      <c r="H5" s="21">
        <v>5</v>
      </c>
      <c r="I5" s="3"/>
    </row>
    <row r="6" spans="1:23" x14ac:dyDescent="0.2">
      <c r="A6">
        <v>1</v>
      </c>
      <c r="B6" s="5" t="s">
        <v>0</v>
      </c>
      <c r="C6" s="9">
        <v>20</v>
      </c>
      <c r="D6" s="9">
        <v>181</v>
      </c>
      <c r="E6" s="9">
        <v>194</v>
      </c>
      <c r="F6" s="9">
        <v>170</v>
      </c>
      <c r="G6" s="9"/>
      <c r="H6" s="9">
        <v>4</v>
      </c>
      <c r="I6" s="6"/>
    </row>
    <row r="7" spans="1:23" x14ac:dyDescent="0.2">
      <c r="A7">
        <v>2</v>
      </c>
      <c r="B7" s="5" t="s">
        <v>2</v>
      </c>
      <c r="C7" s="9">
        <v>11</v>
      </c>
      <c r="D7" s="9">
        <v>341</v>
      </c>
      <c r="E7" s="9">
        <v>175</v>
      </c>
      <c r="F7" s="9">
        <v>200</v>
      </c>
      <c r="G7" s="9"/>
      <c r="H7" s="9">
        <v>5</v>
      </c>
    </row>
    <row r="8" spans="1:23" x14ac:dyDescent="0.2">
      <c r="A8">
        <v>3</v>
      </c>
      <c r="B8" s="5" t="s">
        <v>3</v>
      </c>
      <c r="C8" s="9">
        <v>21</v>
      </c>
      <c r="D8" s="33">
        <v>269</v>
      </c>
      <c r="E8" s="33">
        <v>290</v>
      </c>
      <c r="F8" s="9">
        <v>189</v>
      </c>
      <c r="G8" s="9"/>
      <c r="H8" s="9">
        <v>8</v>
      </c>
    </row>
    <row r="9" spans="1:23" x14ac:dyDescent="0.2">
      <c r="A9">
        <v>4</v>
      </c>
      <c r="B9" s="5" t="s">
        <v>4</v>
      </c>
      <c r="C9" s="9">
        <v>39</v>
      </c>
      <c r="D9" s="9">
        <v>379</v>
      </c>
      <c r="E9" s="9">
        <v>180</v>
      </c>
      <c r="F9" s="9">
        <v>230</v>
      </c>
      <c r="G9" s="9"/>
      <c r="H9" s="9">
        <v>10</v>
      </c>
    </row>
    <row r="10" spans="1:23" x14ac:dyDescent="0.2">
      <c r="A10">
        <v>5</v>
      </c>
      <c r="B10" s="5" t="s">
        <v>5</v>
      </c>
      <c r="C10" s="9">
        <v>10</v>
      </c>
      <c r="D10" s="9">
        <v>381</v>
      </c>
      <c r="E10" s="9">
        <v>214</v>
      </c>
      <c r="F10" s="9">
        <v>228</v>
      </c>
      <c r="G10" s="9">
        <v>223</v>
      </c>
      <c r="H10" s="9">
        <v>14</v>
      </c>
    </row>
    <row r="11" spans="1:23" x14ac:dyDescent="0.2">
      <c r="A11">
        <v>6</v>
      </c>
      <c r="B11" s="8" t="s">
        <v>6</v>
      </c>
      <c r="C11" s="9">
        <v>10</v>
      </c>
      <c r="D11" s="9">
        <v>329</v>
      </c>
      <c r="E11" s="9">
        <v>312</v>
      </c>
      <c r="F11" s="9">
        <v>282</v>
      </c>
      <c r="G11" s="9">
        <v>327</v>
      </c>
      <c r="H11" s="9">
        <v>8</v>
      </c>
    </row>
    <row r="12" spans="1:23" x14ac:dyDescent="0.2">
      <c r="A12">
        <v>7</v>
      </c>
      <c r="B12" s="10" t="s">
        <v>7</v>
      </c>
      <c r="C12" s="9">
        <v>38</v>
      </c>
      <c r="D12" s="9">
        <v>149</v>
      </c>
      <c r="E12" s="9">
        <v>162</v>
      </c>
      <c r="F12" s="9">
        <v>5</v>
      </c>
      <c r="G12" s="9">
        <v>201</v>
      </c>
      <c r="H12" s="9">
        <v>6</v>
      </c>
    </row>
    <row r="13" spans="1:23" x14ac:dyDescent="0.2">
      <c r="A13">
        <v>8</v>
      </c>
      <c r="B13" s="10" t="s">
        <v>8</v>
      </c>
      <c r="C13" s="9">
        <v>2</v>
      </c>
      <c r="D13" s="9">
        <v>118</v>
      </c>
      <c r="E13" s="9">
        <v>117</v>
      </c>
      <c r="F13" s="9">
        <v>79</v>
      </c>
      <c r="G13" s="9">
        <v>212</v>
      </c>
      <c r="H13" s="9">
        <v>9</v>
      </c>
    </row>
    <row r="14" spans="1:23" x14ac:dyDescent="0.2">
      <c r="A14">
        <v>9</v>
      </c>
      <c r="B14" s="10" t="s">
        <v>9</v>
      </c>
      <c r="C14" s="9">
        <v>4</v>
      </c>
      <c r="D14" s="9">
        <v>154</v>
      </c>
      <c r="E14" s="9">
        <v>189</v>
      </c>
      <c r="F14" s="9">
        <v>5</v>
      </c>
      <c r="G14" s="9"/>
      <c r="H14" s="9">
        <v>5</v>
      </c>
    </row>
    <row r="15" spans="1:23" x14ac:dyDescent="0.2">
      <c r="A15">
        <v>10</v>
      </c>
      <c r="B15" s="11" t="s">
        <v>18</v>
      </c>
      <c r="C15" s="9">
        <v>9</v>
      </c>
      <c r="D15" s="9">
        <v>178</v>
      </c>
      <c r="E15" s="9">
        <v>129</v>
      </c>
      <c r="F15" s="9">
        <v>98</v>
      </c>
      <c r="G15" s="9"/>
      <c r="H15" s="9">
        <v>4</v>
      </c>
    </row>
    <row r="16" spans="1:23" x14ac:dyDescent="0.2">
      <c r="A16">
        <v>11</v>
      </c>
      <c r="B16" s="10" t="s">
        <v>10</v>
      </c>
      <c r="C16" s="9">
        <v>3</v>
      </c>
      <c r="D16" s="9">
        <v>29</v>
      </c>
      <c r="E16" s="9">
        <v>34</v>
      </c>
      <c r="F16" s="9">
        <v>36</v>
      </c>
      <c r="G16" s="9">
        <v>130</v>
      </c>
      <c r="H16" s="9">
        <v>7</v>
      </c>
    </row>
    <row r="17" spans="1:8" x14ac:dyDescent="0.2">
      <c r="A17">
        <v>12</v>
      </c>
      <c r="B17" s="10" t="s">
        <v>11</v>
      </c>
      <c r="C17" s="9">
        <v>4</v>
      </c>
      <c r="D17" s="9">
        <v>121</v>
      </c>
      <c r="E17" s="9">
        <v>183</v>
      </c>
      <c r="F17" s="9">
        <v>90</v>
      </c>
      <c r="G17" s="9"/>
      <c r="H17" s="9">
        <v>9</v>
      </c>
    </row>
    <row r="18" spans="1:8" x14ac:dyDescent="0.2">
      <c r="A18">
        <v>13</v>
      </c>
      <c r="B18" s="11" t="s">
        <v>19</v>
      </c>
      <c r="C18" s="9"/>
      <c r="D18" s="9"/>
      <c r="E18" s="9"/>
      <c r="F18" s="9">
        <v>11</v>
      </c>
      <c r="G18" s="9">
        <v>289</v>
      </c>
      <c r="H18" s="9"/>
    </row>
    <row r="19" spans="1:8" x14ac:dyDescent="0.2">
      <c r="A19" s="2"/>
      <c r="B19" s="10" t="s">
        <v>20</v>
      </c>
      <c r="C19" s="35">
        <f t="shared" ref="C19:H19" si="0">SUM(C5:C18)</f>
        <v>191</v>
      </c>
      <c r="D19" s="35">
        <f t="shared" si="0"/>
        <v>2804</v>
      </c>
      <c r="E19" s="35">
        <f t="shared" si="0"/>
        <v>2373</v>
      </c>
      <c r="F19" s="35">
        <f t="shared" si="0"/>
        <v>1681</v>
      </c>
      <c r="G19" s="35">
        <f t="shared" si="0"/>
        <v>1627</v>
      </c>
      <c r="H19" s="35">
        <f t="shared" si="0"/>
        <v>94</v>
      </c>
    </row>
    <row r="20" spans="1:8" ht="13.5" thickBot="1" x14ac:dyDescent="0.25">
      <c r="A20" s="2"/>
      <c r="B20" s="10" t="s">
        <v>21</v>
      </c>
      <c r="C20" s="36">
        <f>D70</f>
        <v>30</v>
      </c>
      <c r="D20" s="36">
        <f>D71</f>
        <v>448</v>
      </c>
      <c r="E20" s="24">
        <v>516</v>
      </c>
      <c r="F20" s="24">
        <v>355</v>
      </c>
      <c r="G20" s="24">
        <v>716</v>
      </c>
      <c r="H20" s="24">
        <v>9</v>
      </c>
    </row>
    <row r="21" spans="1:8" ht="15" thickBot="1" x14ac:dyDescent="0.25">
      <c r="A21" s="2"/>
      <c r="B21" s="23" t="s">
        <v>22</v>
      </c>
      <c r="C21" s="25">
        <f t="shared" ref="C21:H21" si="1">SUM(C19:C20)</f>
        <v>221</v>
      </c>
      <c r="D21" s="26">
        <f t="shared" si="1"/>
        <v>3252</v>
      </c>
      <c r="E21" s="26">
        <f t="shared" si="1"/>
        <v>2889</v>
      </c>
      <c r="F21" s="26">
        <f t="shared" si="1"/>
        <v>2036</v>
      </c>
      <c r="G21" s="26">
        <f t="shared" si="1"/>
        <v>2343</v>
      </c>
      <c r="H21" s="27">
        <f t="shared" si="1"/>
        <v>103</v>
      </c>
    </row>
    <row r="22" spans="1:8" ht="20.25" customHeight="1" x14ac:dyDescent="0.2">
      <c r="B22" s="49" t="s">
        <v>12</v>
      </c>
      <c r="C22" s="28" t="s">
        <v>23</v>
      </c>
      <c r="D22" s="28" t="s">
        <v>24</v>
      </c>
      <c r="E22" s="28" t="s">
        <v>25</v>
      </c>
      <c r="F22" s="22" t="s">
        <v>26</v>
      </c>
      <c r="G22" s="22" t="s">
        <v>27</v>
      </c>
      <c r="H22" s="22" t="s">
        <v>41</v>
      </c>
    </row>
    <row r="23" spans="1:8" x14ac:dyDescent="0.2">
      <c r="B23" s="49"/>
      <c r="C23" s="48">
        <v>45992</v>
      </c>
      <c r="D23" s="48">
        <v>45992</v>
      </c>
      <c r="E23" s="48">
        <v>45992</v>
      </c>
      <c r="F23" s="48">
        <v>45992</v>
      </c>
      <c r="G23" s="48">
        <v>45992</v>
      </c>
      <c r="H23" s="48">
        <v>45992</v>
      </c>
    </row>
    <row r="24" spans="1:8" x14ac:dyDescent="0.2">
      <c r="B24" s="49"/>
      <c r="C24" s="48"/>
      <c r="D24" s="48"/>
      <c r="E24" s="48"/>
      <c r="F24" s="48"/>
      <c r="G24" s="48"/>
      <c r="H24" s="48"/>
    </row>
    <row r="25" spans="1:8" x14ac:dyDescent="0.2">
      <c r="A25">
        <v>0</v>
      </c>
      <c r="B25" s="4" t="s">
        <v>1</v>
      </c>
      <c r="C25" s="21"/>
      <c r="D25" s="21"/>
      <c r="E25" s="21">
        <v>4</v>
      </c>
      <c r="F25" s="21"/>
      <c r="G25" s="21"/>
      <c r="H25" s="21">
        <v>147</v>
      </c>
    </row>
    <row r="26" spans="1:8" x14ac:dyDescent="0.2">
      <c r="A26">
        <v>1</v>
      </c>
      <c r="B26" s="5" t="s">
        <v>0</v>
      </c>
      <c r="C26" s="9"/>
      <c r="D26" s="9"/>
      <c r="E26" s="9">
        <v>8</v>
      </c>
      <c r="F26" s="9"/>
      <c r="G26" s="9"/>
      <c r="H26" s="9">
        <v>206</v>
      </c>
    </row>
    <row r="27" spans="1:8" x14ac:dyDescent="0.2">
      <c r="A27">
        <v>2</v>
      </c>
      <c r="B27" s="5" t="s">
        <v>2</v>
      </c>
      <c r="C27" s="9"/>
      <c r="D27" s="9"/>
      <c r="E27" s="9">
        <v>5</v>
      </c>
      <c r="F27" s="9"/>
      <c r="G27" s="9"/>
      <c r="H27" s="9">
        <v>108</v>
      </c>
    </row>
    <row r="28" spans="1:8" x14ac:dyDescent="0.2">
      <c r="A28">
        <v>3</v>
      </c>
      <c r="B28" s="12" t="s">
        <v>3</v>
      </c>
      <c r="C28" s="9"/>
      <c r="D28" s="9"/>
      <c r="E28" s="7">
        <v>7</v>
      </c>
      <c r="F28" s="9"/>
      <c r="G28" s="9"/>
      <c r="H28" s="9">
        <v>157</v>
      </c>
    </row>
    <row r="29" spans="1:8" x14ac:dyDescent="0.2">
      <c r="A29">
        <v>4</v>
      </c>
      <c r="B29" s="12" t="s">
        <v>4</v>
      </c>
      <c r="C29" s="9">
        <v>1</v>
      </c>
      <c r="D29" s="9"/>
      <c r="E29" s="9">
        <v>12</v>
      </c>
      <c r="F29" s="9"/>
      <c r="G29" s="9"/>
      <c r="H29" s="9">
        <v>1</v>
      </c>
    </row>
    <row r="30" spans="1:8" x14ac:dyDescent="0.2">
      <c r="A30">
        <v>5</v>
      </c>
      <c r="B30" s="12" t="s">
        <v>5</v>
      </c>
      <c r="C30" s="9"/>
      <c r="D30" s="9"/>
      <c r="E30" s="9">
        <v>26</v>
      </c>
      <c r="F30" s="9"/>
      <c r="G30" s="9"/>
      <c r="H30" s="9">
        <v>173</v>
      </c>
    </row>
    <row r="31" spans="1:8" x14ac:dyDescent="0.2">
      <c r="A31">
        <v>6</v>
      </c>
      <c r="B31" s="12" t="s">
        <v>6</v>
      </c>
      <c r="C31" s="9">
        <v>1</v>
      </c>
      <c r="D31" s="9"/>
      <c r="E31" s="9">
        <v>33</v>
      </c>
      <c r="F31" s="9"/>
      <c r="G31" s="9"/>
      <c r="H31" s="9">
        <v>99</v>
      </c>
    </row>
    <row r="32" spans="1:8" x14ac:dyDescent="0.2">
      <c r="A32">
        <v>7</v>
      </c>
      <c r="B32" s="12" t="s">
        <v>7</v>
      </c>
      <c r="C32" s="9"/>
      <c r="D32" s="9"/>
      <c r="E32" s="9">
        <v>10</v>
      </c>
      <c r="F32" s="9"/>
      <c r="G32" s="9"/>
      <c r="H32" s="9">
        <v>97</v>
      </c>
    </row>
    <row r="33" spans="1:8" x14ac:dyDescent="0.2">
      <c r="A33">
        <v>8</v>
      </c>
      <c r="B33" s="12" t="s">
        <v>8</v>
      </c>
      <c r="C33" s="9"/>
      <c r="D33" s="9"/>
      <c r="E33" s="9">
        <v>3</v>
      </c>
      <c r="F33" s="9"/>
      <c r="G33" s="9"/>
      <c r="H33" s="9">
        <v>78</v>
      </c>
    </row>
    <row r="34" spans="1:8" x14ac:dyDescent="0.2">
      <c r="A34">
        <v>9</v>
      </c>
      <c r="B34" s="12" t="s">
        <v>9</v>
      </c>
      <c r="C34" s="9"/>
      <c r="D34" s="9"/>
      <c r="E34" s="9">
        <v>2</v>
      </c>
      <c r="F34" s="9"/>
      <c r="G34" s="9"/>
      <c r="H34" s="9">
        <v>158</v>
      </c>
    </row>
    <row r="35" spans="1:8" x14ac:dyDescent="0.2">
      <c r="A35">
        <v>10</v>
      </c>
      <c r="B35" s="8" t="s">
        <v>18</v>
      </c>
      <c r="C35" s="9"/>
      <c r="D35" s="9"/>
      <c r="E35" s="9">
        <v>1</v>
      </c>
      <c r="F35" s="9"/>
      <c r="G35" s="9"/>
      <c r="H35" s="9">
        <v>97</v>
      </c>
    </row>
    <row r="36" spans="1:8" x14ac:dyDescent="0.2">
      <c r="A36">
        <v>11</v>
      </c>
      <c r="B36" s="11" t="s">
        <v>10</v>
      </c>
      <c r="C36" s="9"/>
      <c r="D36" s="9"/>
      <c r="E36" s="9"/>
      <c r="F36" s="9">
        <v>1</v>
      </c>
      <c r="G36" s="9"/>
      <c r="H36" s="9">
        <v>44</v>
      </c>
    </row>
    <row r="37" spans="1:8" x14ac:dyDescent="0.2">
      <c r="A37">
        <v>12</v>
      </c>
      <c r="B37" s="11" t="s">
        <v>11</v>
      </c>
      <c r="C37" s="9"/>
      <c r="D37" s="9"/>
      <c r="E37" s="9">
        <v>3</v>
      </c>
      <c r="F37" s="9"/>
      <c r="G37" s="9"/>
      <c r="H37" s="9">
        <v>129</v>
      </c>
    </row>
    <row r="38" spans="1:8" x14ac:dyDescent="0.2">
      <c r="A38">
        <v>13</v>
      </c>
      <c r="B38" s="11" t="s">
        <v>19</v>
      </c>
      <c r="C38" s="9">
        <v>2</v>
      </c>
      <c r="D38" s="9"/>
      <c r="E38" s="9"/>
      <c r="F38" s="9">
        <v>6</v>
      </c>
      <c r="G38" s="9">
        <v>40</v>
      </c>
      <c r="H38" s="9"/>
    </row>
    <row r="39" spans="1:8" x14ac:dyDescent="0.2">
      <c r="B39" s="11" t="s">
        <v>20</v>
      </c>
      <c r="C39" s="34">
        <f t="shared" ref="C39:H39" si="2">SUM(C25:C38)</f>
        <v>4</v>
      </c>
      <c r="D39" s="34">
        <f t="shared" si="2"/>
        <v>0</v>
      </c>
      <c r="E39" s="34">
        <f t="shared" si="2"/>
        <v>114</v>
      </c>
      <c r="F39" s="34">
        <f t="shared" si="2"/>
        <v>7</v>
      </c>
      <c r="G39" s="34">
        <f t="shared" si="2"/>
        <v>40</v>
      </c>
      <c r="H39" s="34">
        <f t="shared" si="2"/>
        <v>1494</v>
      </c>
    </row>
    <row r="40" spans="1:8" ht="13.5" thickBot="1" x14ac:dyDescent="0.25">
      <c r="B40" s="11" t="s">
        <v>21</v>
      </c>
      <c r="C40" s="16"/>
      <c r="D40" s="16"/>
      <c r="E40" s="16">
        <v>14</v>
      </c>
      <c r="F40" s="16"/>
      <c r="G40" s="16">
        <v>1</v>
      </c>
      <c r="H40" s="16">
        <v>381</v>
      </c>
    </row>
    <row r="41" spans="1:8" ht="15" thickBot="1" x14ac:dyDescent="0.25">
      <c r="B41" s="23" t="s">
        <v>22</v>
      </c>
      <c r="C41" s="29">
        <f t="shared" ref="C41:H41" si="3">SUM(C39:C40)</f>
        <v>4</v>
      </c>
      <c r="D41" s="30">
        <f t="shared" si="3"/>
        <v>0</v>
      </c>
      <c r="E41" s="30">
        <f t="shared" si="3"/>
        <v>128</v>
      </c>
      <c r="F41" s="30">
        <f t="shared" si="3"/>
        <v>7</v>
      </c>
      <c r="G41" s="30">
        <f t="shared" si="3"/>
        <v>41</v>
      </c>
      <c r="H41" s="31">
        <f t="shared" si="3"/>
        <v>1875</v>
      </c>
    </row>
    <row r="42" spans="1:8" ht="12.75" customHeight="1" x14ac:dyDescent="0.2">
      <c r="B42" s="49" t="s">
        <v>12</v>
      </c>
      <c r="C42" s="28" t="s">
        <v>28</v>
      </c>
      <c r="D42" s="28" t="s">
        <v>29</v>
      </c>
      <c r="E42" s="28" t="s">
        <v>30</v>
      </c>
      <c r="F42" s="22" t="s">
        <v>31</v>
      </c>
      <c r="G42" s="28" t="s">
        <v>32</v>
      </c>
    </row>
    <row r="43" spans="1:8" x14ac:dyDescent="0.2">
      <c r="B43" s="49"/>
      <c r="C43" s="48">
        <v>45992</v>
      </c>
      <c r="D43" s="48">
        <v>45992</v>
      </c>
      <c r="E43" s="48">
        <v>45992</v>
      </c>
      <c r="F43" s="48">
        <v>45992</v>
      </c>
      <c r="G43" s="48">
        <v>45992</v>
      </c>
    </row>
    <row r="44" spans="1:8" x14ac:dyDescent="0.2">
      <c r="B44" s="49"/>
      <c r="C44" s="48"/>
      <c r="D44" s="48"/>
      <c r="E44" s="48"/>
      <c r="F44" s="48"/>
      <c r="G44" s="48"/>
    </row>
    <row r="45" spans="1:8" x14ac:dyDescent="0.2">
      <c r="A45">
        <v>0</v>
      </c>
      <c r="B45" s="4" t="s">
        <v>1</v>
      </c>
      <c r="C45" s="21"/>
      <c r="D45" s="21"/>
      <c r="E45" s="21"/>
      <c r="F45" s="21"/>
      <c r="G45" s="21"/>
    </row>
    <row r="46" spans="1:8" x14ac:dyDescent="0.2">
      <c r="A46">
        <v>1</v>
      </c>
      <c r="B46" s="5" t="s">
        <v>0</v>
      </c>
      <c r="C46" s="9"/>
      <c r="D46" s="9"/>
      <c r="E46" s="9"/>
      <c r="F46" s="9"/>
      <c r="G46" s="9"/>
    </row>
    <row r="47" spans="1:8" x14ac:dyDescent="0.2">
      <c r="A47">
        <v>2</v>
      </c>
      <c r="B47" s="5" t="s">
        <v>2</v>
      </c>
      <c r="C47" s="9"/>
      <c r="D47" s="9"/>
      <c r="E47" s="9"/>
      <c r="F47" s="9"/>
      <c r="G47" s="9"/>
    </row>
    <row r="48" spans="1:8" x14ac:dyDescent="0.2">
      <c r="A48">
        <v>3</v>
      </c>
      <c r="B48" s="5" t="s">
        <v>3</v>
      </c>
      <c r="C48" s="9"/>
      <c r="D48" s="9"/>
      <c r="E48" s="9"/>
      <c r="F48" s="9"/>
      <c r="G48" s="9"/>
    </row>
    <row r="49" spans="1:14" x14ac:dyDescent="0.2">
      <c r="A49">
        <v>4</v>
      </c>
      <c r="B49" s="5" t="s">
        <v>4</v>
      </c>
      <c r="C49" s="9"/>
      <c r="D49" s="9"/>
      <c r="E49" s="9"/>
      <c r="F49" s="9"/>
      <c r="G49" s="9"/>
    </row>
    <row r="50" spans="1:14" x14ac:dyDescent="0.2">
      <c r="A50">
        <v>5</v>
      </c>
      <c r="B50" s="5" t="s">
        <v>5</v>
      </c>
      <c r="C50" s="9"/>
      <c r="D50" s="9"/>
      <c r="E50" s="9"/>
      <c r="F50" s="9"/>
      <c r="G50" s="9"/>
    </row>
    <row r="51" spans="1:14" x14ac:dyDescent="0.2">
      <c r="A51">
        <v>6</v>
      </c>
      <c r="B51" s="5" t="s">
        <v>6</v>
      </c>
      <c r="C51" s="9"/>
      <c r="D51" s="9"/>
      <c r="E51" s="9"/>
      <c r="F51" s="9"/>
      <c r="G51" s="9"/>
    </row>
    <row r="52" spans="1:14" x14ac:dyDescent="0.2">
      <c r="A52">
        <v>7</v>
      </c>
      <c r="B52" s="5" t="s">
        <v>7</v>
      </c>
      <c r="C52" s="9"/>
      <c r="D52" s="9"/>
      <c r="E52" s="9"/>
      <c r="F52" s="9"/>
      <c r="G52" s="9"/>
    </row>
    <row r="53" spans="1:14" x14ac:dyDescent="0.2">
      <c r="A53">
        <v>8</v>
      </c>
      <c r="B53" s="5" t="s">
        <v>8</v>
      </c>
      <c r="C53" s="9"/>
      <c r="D53" s="9"/>
      <c r="E53" s="9"/>
      <c r="F53" s="9"/>
      <c r="G53" s="9"/>
    </row>
    <row r="54" spans="1:14" x14ac:dyDescent="0.2">
      <c r="A54">
        <v>9</v>
      </c>
      <c r="B54" s="12" t="s">
        <v>9</v>
      </c>
      <c r="C54" s="9"/>
      <c r="D54" s="9"/>
      <c r="E54" s="9"/>
      <c r="F54" s="9"/>
      <c r="G54" s="9"/>
    </row>
    <row r="55" spans="1:14" x14ac:dyDescent="0.2">
      <c r="A55">
        <v>10</v>
      </c>
      <c r="B55" s="8" t="s">
        <v>18</v>
      </c>
      <c r="C55" s="9"/>
      <c r="D55" s="9"/>
      <c r="E55" s="9"/>
      <c r="F55" s="9"/>
      <c r="G55" s="9"/>
    </row>
    <row r="56" spans="1:14" x14ac:dyDescent="0.2">
      <c r="A56">
        <v>11</v>
      </c>
      <c r="B56" s="11" t="s">
        <v>10</v>
      </c>
      <c r="C56" s="9"/>
      <c r="D56" s="9"/>
      <c r="E56" s="9"/>
      <c r="F56" s="9"/>
      <c r="G56" s="9"/>
    </row>
    <row r="57" spans="1:14" x14ac:dyDescent="0.2">
      <c r="A57">
        <v>12</v>
      </c>
      <c r="B57" s="11" t="s">
        <v>11</v>
      </c>
      <c r="C57" s="9"/>
      <c r="D57" s="9"/>
      <c r="E57" s="9"/>
      <c r="F57" s="9"/>
      <c r="G57" s="9"/>
    </row>
    <row r="58" spans="1:14" x14ac:dyDescent="0.2">
      <c r="A58">
        <v>13</v>
      </c>
      <c r="B58" s="11" t="s">
        <v>19</v>
      </c>
      <c r="C58" s="9"/>
      <c r="D58" s="9"/>
      <c r="E58" s="9"/>
      <c r="F58" s="9"/>
      <c r="G58" s="9"/>
    </row>
    <row r="59" spans="1:14" x14ac:dyDescent="0.2">
      <c r="B59" s="11" t="s">
        <v>20</v>
      </c>
      <c r="C59" s="34">
        <f t="shared" ref="C59:G59" si="4">SUM(C45:C58)</f>
        <v>0</v>
      </c>
      <c r="D59" s="34">
        <f t="shared" si="4"/>
        <v>0</v>
      </c>
      <c r="E59" s="34">
        <f t="shared" si="4"/>
        <v>0</v>
      </c>
      <c r="F59" s="34">
        <f t="shared" si="4"/>
        <v>0</v>
      </c>
      <c r="G59" s="34">
        <f t="shared" si="4"/>
        <v>0</v>
      </c>
    </row>
    <row r="60" spans="1:14" ht="13.5" thickBot="1" x14ac:dyDescent="0.25">
      <c r="B60" s="11" t="s">
        <v>33</v>
      </c>
      <c r="C60" s="16"/>
      <c r="D60" s="16"/>
      <c r="E60" s="16"/>
      <c r="F60" s="16"/>
      <c r="G60" s="16"/>
    </row>
    <row r="61" spans="1:14" ht="15" thickBot="1" x14ac:dyDescent="0.25">
      <c r="B61" s="23" t="s">
        <v>22</v>
      </c>
      <c r="C61" s="29">
        <f t="shared" ref="C61:F61" si="5">SUM(C59:C60)</f>
        <v>0</v>
      </c>
      <c r="D61" s="30">
        <f t="shared" si="5"/>
        <v>0</v>
      </c>
      <c r="E61" s="30">
        <f t="shared" si="5"/>
        <v>0</v>
      </c>
      <c r="F61" s="30">
        <f t="shared" si="5"/>
        <v>0</v>
      </c>
      <c r="G61" s="31">
        <f>SUM(G59:G60)</f>
        <v>0</v>
      </c>
    </row>
    <row r="62" spans="1:14" ht="13.5" thickBot="1" x14ac:dyDescent="0.25">
      <c r="B62" s="13" t="s">
        <v>34</v>
      </c>
      <c r="C62" s="14">
        <v>0</v>
      </c>
    </row>
    <row r="63" spans="1:14" ht="15.75" thickBot="1" x14ac:dyDescent="0.3">
      <c r="B63" s="23" t="s">
        <v>22</v>
      </c>
      <c r="C63" s="41">
        <f>C62</f>
        <v>0</v>
      </c>
    </row>
    <row r="64" spans="1:14" ht="13.5" thickBot="1" x14ac:dyDescent="0.25">
      <c r="B64" s="38" t="s">
        <v>35</v>
      </c>
      <c r="C64" s="15"/>
      <c r="D64" s="42" t="s">
        <v>42</v>
      </c>
      <c r="E64" s="43"/>
      <c r="F64" s="43"/>
      <c r="G64" s="43"/>
      <c r="H64" s="43"/>
      <c r="I64" s="43"/>
      <c r="J64" s="43"/>
      <c r="K64" s="43"/>
      <c r="L64" s="43"/>
      <c r="M64" s="43"/>
      <c r="N64" s="44"/>
    </row>
    <row r="65" spans="2:14" x14ac:dyDescent="0.2">
      <c r="B65" s="34">
        <f>C19</f>
        <v>191</v>
      </c>
      <c r="C65" s="34">
        <f>(B65*100)/B67</f>
        <v>6.3772954924874794</v>
      </c>
      <c r="D65" s="38" t="s">
        <v>36</v>
      </c>
    </row>
    <row r="66" spans="2:14" x14ac:dyDescent="0.2">
      <c r="B66" s="34">
        <f>D19</f>
        <v>2804</v>
      </c>
      <c r="C66" s="34">
        <f>(B66*100)/B67</f>
        <v>93.622704507512523</v>
      </c>
      <c r="D66" s="34" t="s">
        <v>37</v>
      </c>
    </row>
    <row r="67" spans="2:14" ht="13.5" thickBot="1" x14ac:dyDescent="0.25">
      <c r="B67" s="34">
        <f>B66+B65</f>
        <v>2995</v>
      </c>
      <c r="C67" s="39">
        <f>(B67*100)/B67</f>
        <v>100</v>
      </c>
      <c r="D67" s="39" t="s">
        <v>20</v>
      </c>
    </row>
    <row r="68" spans="2:14" ht="13.5" thickBot="1" x14ac:dyDescent="0.25">
      <c r="B68" s="40" t="s">
        <v>38</v>
      </c>
      <c r="C68" s="37">
        <v>478</v>
      </c>
      <c r="D68" s="45" t="s">
        <v>40</v>
      </c>
      <c r="E68" s="46"/>
      <c r="F68" s="46"/>
      <c r="G68" s="46"/>
      <c r="H68" s="46"/>
      <c r="I68" s="46"/>
      <c r="J68" s="46"/>
      <c r="K68" s="46"/>
      <c r="L68" s="46"/>
      <c r="M68" s="46"/>
      <c r="N68" s="47"/>
    </row>
    <row r="69" spans="2:14" x14ac:dyDescent="0.2">
      <c r="B69" s="34" t="s">
        <v>39</v>
      </c>
      <c r="C69" s="20"/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19"/>
    </row>
    <row r="70" spans="2:14" x14ac:dyDescent="0.2">
      <c r="B70" s="34">
        <f>(C68*C65)/100</f>
        <v>30.483472454090151</v>
      </c>
      <c r="C70" s="34" t="s">
        <v>36</v>
      </c>
      <c r="D70" s="34">
        <f>ROUND(B70,0)</f>
        <v>30</v>
      </c>
    </row>
    <row r="71" spans="2:14" x14ac:dyDescent="0.2">
      <c r="B71" s="34">
        <f>(C66*C68)/100</f>
        <v>447.51652754590987</v>
      </c>
      <c r="C71" s="34" t="s">
        <v>37</v>
      </c>
      <c r="D71" s="34">
        <f>ROUND(B71,0)</f>
        <v>448</v>
      </c>
    </row>
  </sheetData>
  <mergeCells count="23">
    <mergeCell ref="B1:H1"/>
    <mergeCell ref="G23:G24"/>
    <mergeCell ref="H23:H24"/>
    <mergeCell ref="B22:B24"/>
    <mergeCell ref="C3:C4"/>
    <mergeCell ref="D3:D4"/>
    <mergeCell ref="E3:E4"/>
    <mergeCell ref="F3:F4"/>
    <mergeCell ref="G3:G4"/>
    <mergeCell ref="H3:H4"/>
    <mergeCell ref="B2:B4"/>
    <mergeCell ref="B42:B44"/>
    <mergeCell ref="C23:C24"/>
    <mergeCell ref="D23:D24"/>
    <mergeCell ref="E23:E24"/>
    <mergeCell ref="F23:F24"/>
    <mergeCell ref="D64:N64"/>
    <mergeCell ref="D68:N68"/>
    <mergeCell ref="C43:C44"/>
    <mergeCell ref="D43:D44"/>
    <mergeCell ref="E43:E44"/>
    <mergeCell ref="F43:F44"/>
    <mergeCell ref="G43:G44"/>
  </mergeCells>
  <pageMargins left="0.25" right="0.25" top="0.75" bottom="0.75" header="0.51180555555555496" footer="0.51180555555555496"/>
  <pageSetup paperSize="9" scale="78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Алексей</dc:creator>
  <dc:description/>
  <cp:lastModifiedBy>12</cp:lastModifiedBy>
  <cp:revision>1</cp:revision>
  <cp:lastPrinted>2026-01-03T04:40:15Z</cp:lastPrinted>
  <dcterms:created xsi:type="dcterms:W3CDTF">2008-01-09T06:21:09Z</dcterms:created>
  <dcterms:modified xsi:type="dcterms:W3CDTF">2026-02-27T05:25:04Z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